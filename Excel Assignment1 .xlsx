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34bd62e9d149e2/Desktop/"/>
    </mc:Choice>
  </mc:AlternateContent>
  <xr:revisionPtr revIDLastSave="0" documentId="8_{A6713460-0EDD-4EAC-A898-1F7E54E01BEE}" xr6:coauthVersionLast="47" xr6:coauthVersionMax="47" xr10:uidLastSave="{00000000-0000-0000-0000-000000000000}"/>
  <bookViews>
    <workbookView xWindow="-108" yWindow="-108" windowWidth="23256" windowHeight="13896" xr2:uid="{38BA8B00-B9CB-48BC-B704-37195F0B2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I2" i="1" a="1"/>
  <c r="I2" i="1" s="1"/>
  <c r="H2" i="1" a="1"/>
  <c r="H2" i="1" s="1"/>
  <c r="L12" i="1"/>
  <c r="L1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L8" i="1"/>
  <c r="L7" i="1"/>
  <c r="L4" i="1"/>
  <c r="L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<sst xmlns="http://schemas.openxmlformats.org/spreadsheetml/2006/main" count="157" uniqueCount="108">
  <si>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</si>
  <si>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</si>
  <si>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</si>
  <si>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</si>
  <si>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</si>
  <si>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</si>
  <si>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</si>
  <si>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</si>
  <si>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</si>
  <si>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</si>
  <si>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</si>
  <si>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</si>
  <si>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</si>
  <si>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</si>
  <si>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</si>
  <si>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</si>
  <si>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</si>
  <si>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</si>
  <si>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</si>
  <si>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</si>
  <si>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</si>
  <si>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</si>
  <si>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</si>
  <si>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</si>
  <si>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</si>
  <si>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</si>
  <si>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</si>
  <si>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</si>
  <si>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</si>
  <si>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</si>
  <si>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</si>
  <si>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</si>
  <si>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</si>
  <si>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</si>
  <si>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</si>
  <si>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</si>
  <si>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</si>
  <si>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</si>
  <si>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</si>
  <si>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</si>
  <si>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</si>
  <si>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</si>
  <si>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</si>
  <si>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</si>
  <si>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</si>
  <si>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</si>
  <si>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</si>
  <si>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</si>
  <si>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</si>
  <si>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</si>
  <si>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</si>
  <si>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</si>
  <si>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</si>
  <si>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</si>
  <si>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</si>
  <si>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</si>
  <si>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</si>
  <si>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</si>
  <si>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</si>
  <si>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</si>
  <si>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</si>
  <si>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</si>
  <si>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</si>
  <si>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</si>
  <si>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</si>
  <si>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</si>
  <si>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</si>
  <si>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</si>
  <si>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</si>
  <si>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</si>
  <si>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</si>
  <si>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</si>
  <si>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</si>
  <si>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</si>
  <si>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</si>
  <si>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</si>
  <si>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</si>
  <si>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</si>
  <si>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</si>
  <si>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</si>
  <si>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</si>
  <si>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</si>
  <si>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</si>
  <si>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</si>
  <si>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</si>
  <si>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</si>
  <si>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</si>
  <si>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</si>
  <si>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</si>
  <si>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</si>
  <si>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</si>
  <si>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</si>
  <si>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</si>
  <si>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	• What is the total price of all products in the dataset?			</t>
  </si>
  <si>
    <t>• How many products are there in the dataset?</t>
  </si>
  <si>
    <t>• Calculate the average price of the products.</t>
  </si>
  <si>
    <t>2) Min and Max:</t>
  </si>
  <si>
    <t>1) Sum, Count, Average:</t>
  </si>
  <si>
    <t>• Determine the minimum price among all products.</t>
  </si>
  <si>
    <t>• Find the maximum price among all products.</t>
  </si>
  <si>
    <t>Price range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</si>
  <si>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</si>
  <si>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</si>
  <si>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</si>
  <si>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Day</t>
  </si>
  <si>
    <t>Country Code</t>
  </si>
  <si>
    <t>Month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</si>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</sst>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/>
    <xf numFmtId="0" fontId="0" fillId="0" borderId="0" xfId="0" applyFont="1"/>
    <xf numFmtId="0" fontId="2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2FE-0FA3-46F4-A947-0BA9896A0A4C}">
  <dimension ref="A1:N35"/>
  <sheetViews>
    <sheetView tabSelected="1" topLeftCell="D1" workbookViewId="0">
      <selection activeCell="K21" sqref="K21"/>
    </sheetView>
  </sheetViews>
  <sheetFormatPr defaultRowHeight="14.4" x14ac:dyDescent="0.3"/>
  <cols>
    <col min="1" max="1" width="11.44140625" customWidth="1"/>
    <col min="2" max="2" width="13.21875" customWidth="1"/>
    <col min="3" max="3" width="11.77734375" customWidth="1"/>
    <col min="6" max="6" width="10.88671875" customWidth="1"/>
    <col min="7" max="10" width="13.77734375" customWidth="1"/>
    <col min="11" max="11" width="73" customWidth="1"/>
    <col min="13" max="13" width="30" customWidth="1"/>
  </cols>
  <sheetData>
    <row r="1" spans="1:1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100</v>
      </c>
      <c r="H1" s="6" t="s">
        <v>104</v>
      </c>
      <c r="I1" s="6" t="s">
        <v>105</v>
      </c>
      <c r="J1" s="6" t="s">
        <v>106</v>
      </c>
      <c r="K1" s="9" t="s">
        <v>97</v>
      </c>
      <c r="L1" s="7" t="s">
        <v>107</v>
      </c>
      <c r="M1" s="7"/>
    </row>
    <row r="2" spans="1:14" ht="15" thickBot="1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t="str">
        <f>IF(D2&gt;=500,"High Price","Standard Price")</f>
        <v>High Price</v>
      </c>
      <c r="H2" t="str" cm="1">
        <f t="array" ref="H2:H35">LEFT(B2:B35,"2")</f>
        <v>La</v>
      </c>
      <c r="I2" t="str" cm="1">
        <f t="array" ref="I2:I35">RIGHT(B2:B35,"2")</f>
        <v>op</v>
      </c>
      <c r="J2" t="str" cm="1">
        <f t="array" ref="J2:J35">MID(B2:B35,"4","6")</f>
        <v>top</v>
      </c>
      <c r="K2" t="s">
        <v>93</v>
      </c>
      <c r="L2">
        <f>SUM(D2:D35)</f>
        <v>10100</v>
      </c>
    </row>
    <row r="3" spans="1:14" ht="15" thickBot="1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t="str">
        <f t="shared" ref="G3:G35" si="0">IF(D3&gt;=500,"High Price","Standard Price")</f>
        <v>Standard Price</v>
      </c>
      <c r="H3" t="str">
        <v>Sn</v>
      </c>
      <c r="I3" t="str">
        <v>rs</v>
      </c>
      <c r="J3" t="str">
        <v>akers</v>
      </c>
      <c r="K3" t="s">
        <v>94</v>
      </c>
      <c r="L3">
        <f>COUNTA(B2:B35)</f>
        <v>34</v>
      </c>
    </row>
    <row r="4" spans="1:14" ht="15" thickBot="1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t="str">
        <f t="shared" si="0"/>
        <v>Standard Price</v>
      </c>
      <c r="H4" t="str">
        <v>Co</v>
      </c>
      <c r="I4" t="str">
        <v>er</v>
      </c>
      <c r="J4" t="str">
        <v>fee Ma</v>
      </c>
      <c r="K4" t="s">
        <v>95</v>
      </c>
      <c r="L4">
        <f>AVERAGE(D2:D35)</f>
        <v>297.05882352941177</v>
      </c>
    </row>
    <row r="5" spans="1:14" ht="15" thickBot="1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t="str">
        <f t="shared" si="0"/>
        <v>High Price</v>
      </c>
      <c r="H5" t="str">
        <v>Sm</v>
      </c>
      <c r="I5" t="str">
        <v>ne</v>
      </c>
      <c r="J5" t="str">
        <v>rtphon</v>
      </c>
    </row>
    <row r="6" spans="1:14" ht="15" thickBot="1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t="str">
        <f t="shared" si="0"/>
        <v>Standard Price</v>
      </c>
      <c r="H6" t="str">
        <v>Ba</v>
      </c>
      <c r="I6" t="str">
        <v>ck</v>
      </c>
      <c r="J6" t="str">
        <v>kpack</v>
      </c>
      <c r="K6" s="7" t="s">
        <v>96</v>
      </c>
    </row>
    <row r="7" spans="1:14" ht="15" thickBot="1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t="str">
        <f t="shared" si="0"/>
        <v>Standard Price</v>
      </c>
      <c r="H7" t="str">
        <v>He</v>
      </c>
      <c r="I7" t="str">
        <v>es</v>
      </c>
      <c r="J7" t="str">
        <v>dphone</v>
      </c>
      <c r="K7" t="s">
        <v>98</v>
      </c>
      <c r="L7">
        <f>MIN(D2:D35)</f>
        <v>30</v>
      </c>
    </row>
    <row r="8" spans="1:14" ht="15" thickBot="1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t="str">
        <f t="shared" si="0"/>
        <v>Standard Price</v>
      </c>
      <c r="H8" t="str">
        <v>T-</v>
      </c>
      <c r="I8" t="str">
        <v>rt</v>
      </c>
      <c r="J8" t="str">
        <v>hirt</v>
      </c>
      <c r="K8" t="s">
        <v>99</v>
      </c>
      <c r="L8">
        <f>MAX(D2:D35)</f>
        <v>1000</v>
      </c>
    </row>
    <row r="9" spans="1:14" ht="15" thickBot="1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t="str">
        <f t="shared" si="0"/>
        <v>Standard Price</v>
      </c>
      <c r="H9" t="str">
        <v>Bl</v>
      </c>
      <c r="I9" t="str">
        <v>er</v>
      </c>
      <c r="J9" t="str">
        <v>nder</v>
      </c>
    </row>
    <row r="10" spans="1:14" ht="15" thickBot="1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t="str">
        <f t="shared" si="0"/>
        <v>High Price</v>
      </c>
      <c r="H10" t="str">
        <v>Ta</v>
      </c>
      <c r="I10" t="str">
        <v>et</v>
      </c>
      <c r="J10" t="str">
        <v>let</v>
      </c>
      <c r="K10" s="7" t="s">
        <v>101</v>
      </c>
    </row>
    <row r="11" spans="1:14" ht="15" thickBot="1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t="str">
        <f t="shared" si="0"/>
        <v>Standard Price</v>
      </c>
      <c r="H11" t="str">
        <v>Hi</v>
      </c>
      <c r="I11" t="str">
        <v>ts</v>
      </c>
      <c r="J11" t="str">
        <v>ing Bo</v>
      </c>
      <c r="K11" s="8" t="s">
        <v>102</v>
      </c>
      <c r="L11" s="7">
        <f>SUMIF(F2:F35,"Electronics",D2:D35)</f>
        <v>8050</v>
      </c>
      <c r="M11" s="7"/>
      <c r="N11" s="7"/>
    </row>
    <row r="12" spans="1:14" ht="15" thickBot="1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t="str">
        <f t="shared" si="0"/>
        <v>High Price</v>
      </c>
      <c r="H12" t="str">
        <v>La</v>
      </c>
      <c r="I12" t="str">
        <v>op</v>
      </c>
      <c r="J12" t="str">
        <v>top</v>
      </c>
      <c r="K12" t="s">
        <v>103</v>
      </c>
      <c r="L12">
        <f>COUNTIF(D2:D35,"&lt;100")</f>
        <v>11</v>
      </c>
    </row>
    <row r="13" spans="1:14" ht="15" thickBot="1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t="str">
        <f t="shared" si="0"/>
        <v>Standard Price</v>
      </c>
      <c r="H13" t="str">
        <v>Sn</v>
      </c>
      <c r="I13" t="str">
        <v>rs</v>
      </c>
      <c r="J13" t="str">
        <v>akers</v>
      </c>
    </row>
    <row r="14" spans="1:14" ht="15" thickBot="1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t="str">
        <f t="shared" si="0"/>
        <v>Standard Price</v>
      </c>
      <c r="H14" t="str">
        <v>Co</v>
      </c>
      <c r="I14" t="str">
        <v>er</v>
      </c>
      <c r="J14" t="str">
        <v>fee Ma</v>
      </c>
    </row>
    <row r="15" spans="1:14" ht="15" thickBot="1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t="str">
        <f t="shared" si="0"/>
        <v>Standard Price</v>
      </c>
      <c r="H15" t="str">
        <v>Sm</v>
      </c>
      <c r="I15" t="str">
        <v>ch</v>
      </c>
      <c r="J15" t="str">
        <v>rtwatc</v>
      </c>
    </row>
    <row r="16" spans="1:14" ht="15" thickBot="1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t="str">
        <f t="shared" si="0"/>
        <v>Standard Price</v>
      </c>
      <c r="H16" t="str">
        <v>He</v>
      </c>
      <c r="I16" t="str">
        <v>es</v>
      </c>
      <c r="J16" t="str">
        <v>dphone</v>
      </c>
    </row>
    <row r="17" spans="1:10" ht="27.6" thickBot="1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t="str">
        <f t="shared" si="0"/>
        <v>Standard Price</v>
      </c>
      <c r="H17" t="str">
        <v>La</v>
      </c>
      <c r="I17" t="str">
        <v>ag</v>
      </c>
      <c r="J17" t="str">
        <v>top Ba</v>
      </c>
    </row>
    <row r="18" spans="1:10" ht="15" thickBot="1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t="str">
        <f t="shared" si="0"/>
        <v>Standard Price</v>
      </c>
      <c r="H18" t="str">
        <v>Sm</v>
      </c>
      <c r="I18" t="str">
        <v>ch</v>
      </c>
      <c r="J18" t="str">
        <v>rtwatc</v>
      </c>
    </row>
    <row r="19" spans="1:10" ht="15" thickBot="1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t="str">
        <f t="shared" si="0"/>
        <v>High Price</v>
      </c>
      <c r="H19" t="str">
        <v>La</v>
      </c>
      <c r="I19" t="str">
        <v>op</v>
      </c>
      <c r="J19" t="str">
        <v>top</v>
      </c>
    </row>
    <row r="20" spans="1:10" ht="15" thickBot="1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t="str">
        <f t="shared" si="0"/>
        <v>Standard Price</v>
      </c>
      <c r="H20" t="str">
        <v>Su</v>
      </c>
      <c r="I20" t="str">
        <v>es</v>
      </c>
      <c r="J20" t="str">
        <v>glasse</v>
      </c>
    </row>
    <row r="21" spans="1:10" ht="15" thickBot="1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t="str">
        <f t="shared" si="0"/>
        <v>Standard Price</v>
      </c>
      <c r="H21" t="str">
        <v>Ca</v>
      </c>
      <c r="I21" t="str">
        <v>nt</v>
      </c>
      <c r="J21" t="str">
        <v>ping T</v>
      </c>
    </row>
    <row r="22" spans="1:10" ht="15" thickBot="1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t="str">
        <f t="shared" si="0"/>
        <v>High Price</v>
      </c>
      <c r="H22" t="str">
        <v>Ca</v>
      </c>
      <c r="I22" t="str">
        <v>ra</v>
      </c>
      <c r="J22" t="str">
        <v>era</v>
      </c>
    </row>
    <row r="23" spans="1:10" ht="15" thickBot="1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t="str">
        <f t="shared" si="0"/>
        <v>Standard Price</v>
      </c>
      <c r="H23" t="str">
        <v>Mi</v>
      </c>
      <c r="I23" t="str">
        <v>ve</v>
      </c>
      <c r="J23" t="str">
        <v>rowave</v>
      </c>
    </row>
    <row r="24" spans="1:10" ht="27.6" thickBot="1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t="str">
        <f t="shared" si="0"/>
        <v>Standard Price</v>
      </c>
      <c r="H24" t="str">
        <v>Fi</v>
      </c>
      <c r="I24" t="str">
        <v>er</v>
      </c>
      <c r="J24" t="str">
        <v>ness T</v>
      </c>
    </row>
    <row r="25" spans="1:10" ht="27.6" thickBot="1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t="str">
        <f t="shared" si="0"/>
        <v>Standard Price</v>
      </c>
      <c r="H25" t="str">
        <v>La</v>
      </c>
      <c r="I25" t="str">
        <v>ag</v>
      </c>
      <c r="J25" t="str">
        <v>top Ba</v>
      </c>
    </row>
    <row r="26" spans="1:10" ht="15" thickBot="1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t="str">
        <f t="shared" si="0"/>
        <v>High Price</v>
      </c>
      <c r="H26" t="str">
        <v>Sm</v>
      </c>
      <c r="I26" t="str">
        <v>ne</v>
      </c>
      <c r="J26" t="str">
        <v>rtphon</v>
      </c>
    </row>
    <row r="27" spans="1:10" ht="15" thickBot="1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t="str">
        <f t="shared" si="0"/>
        <v>Standard Price</v>
      </c>
      <c r="H27" t="str">
        <v>Su</v>
      </c>
      <c r="I27" t="str">
        <v>es</v>
      </c>
      <c r="J27" t="str">
        <v>glasse</v>
      </c>
    </row>
    <row r="28" spans="1:10" ht="15" thickBot="1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t="str">
        <f t="shared" si="0"/>
        <v>Standard Price</v>
      </c>
      <c r="H28" t="str">
        <v>Bl</v>
      </c>
      <c r="I28" t="str">
        <v>er</v>
      </c>
      <c r="J28" t="str">
        <v>nder</v>
      </c>
    </row>
    <row r="29" spans="1:10" ht="15" thickBot="1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t="str">
        <f t="shared" si="0"/>
        <v>Standard Price</v>
      </c>
      <c r="H29" t="str">
        <v>He</v>
      </c>
      <c r="I29" t="str">
        <v>es</v>
      </c>
      <c r="J29" t="str">
        <v>dphone</v>
      </c>
    </row>
    <row r="30" spans="1:10" ht="15" thickBot="1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t="str">
        <f t="shared" si="0"/>
        <v>Standard Price</v>
      </c>
      <c r="H30" t="str">
        <v>Dr</v>
      </c>
      <c r="I30" t="str">
        <v>ss</v>
      </c>
      <c r="J30" t="str">
        <v>ss</v>
      </c>
    </row>
    <row r="31" spans="1:10" ht="15" thickBot="1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t="str">
        <f t="shared" si="0"/>
        <v>Standard Price</v>
      </c>
      <c r="H31" t="str">
        <v>To</v>
      </c>
      <c r="I31" t="str">
        <v>er</v>
      </c>
      <c r="J31" t="str">
        <v>ster</v>
      </c>
    </row>
    <row r="32" spans="1:10" ht="27.6" thickBot="1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t="str">
        <f t="shared" si="0"/>
        <v>Standard Price</v>
      </c>
      <c r="H32" t="str">
        <v>Fi</v>
      </c>
      <c r="I32" t="str">
        <v>er</v>
      </c>
      <c r="J32" t="str">
        <v>ness T</v>
      </c>
    </row>
    <row r="33" spans="1:10" ht="15" thickBot="1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t="str">
        <f t="shared" si="0"/>
        <v>Standard Price</v>
      </c>
      <c r="H33" t="str">
        <v>Je</v>
      </c>
      <c r="I33" t="str">
        <v>ns</v>
      </c>
      <c r="J33" t="str">
        <v>ns</v>
      </c>
    </row>
    <row r="34" spans="1:10" ht="15" thickBot="1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t="str">
        <f t="shared" si="0"/>
        <v>High Price</v>
      </c>
      <c r="H34" t="str">
        <v>La</v>
      </c>
      <c r="I34" t="str">
        <v>op</v>
      </c>
      <c r="J34" t="str">
        <v>top</v>
      </c>
    </row>
    <row r="35" spans="1:10" ht="27.6" thickBot="1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t="str">
        <f t="shared" si="0"/>
        <v>Standard Price</v>
      </c>
      <c r="H35" t="str">
        <v>Wa</v>
      </c>
      <c r="I35" t="str">
        <v>ch</v>
      </c>
      <c r="J35" t="str">
        <v>ch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Nihad sha</dc:creator>
  <cp:lastModifiedBy>Nihad sha</cp:lastModifiedBy>
  <dcterms:created xsi:type="dcterms:W3CDTF">2026-08-01T12:55:07Z</dcterms:created>
  <dcterms:modified xsi:type="dcterms:W3CDTF">2026-08-02T19:00:42Z</dcterms:modified>
</cp:coreProperties>
</file>